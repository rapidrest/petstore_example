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rapidrest\petstore_example\k6-tests\"/>
    </mc:Choice>
  </mc:AlternateContent>
  <xr:revisionPtr revIDLastSave="0" documentId="13_ncr:1_{AD175F35-4744-49B0-AD73-534B974D1F74}" xr6:coauthVersionLast="47" xr6:coauthVersionMax="47" xr10:uidLastSave="{00000000-0000-0000-0000-000000000000}"/>
  <bookViews>
    <workbookView xWindow="12705" yWindow="285" windowWidth="25215" windowHeight="18735" xr2:uid="{FF28AC9A-F1E0-4B8D-AFDC-88670F014157}"/>
  </bookViews>
  <sheets>
    <sheet name="Comparison" sheetId="3" r:id="rId1"/>
    <sheet name="1.0.31-rrst" sheetId="2" r:id="rId2"/>
    <sheet name="1.0.31-cj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8" i="3"/>
  <c r="L2" i="3"/>
  <c r="K3" i="3"/>
  <c r="K4" i="3"/>
  <c r="K5" i="3"/>
  <c r="K6" i="3"/>
  <c r="K7" i="3"/>
  <c r="K8" i="3"/>
  <c r="K2" i="3"/>
  <c r="J3" i="3"/>
  <c r="J4" i="3"/>
  <c r="J5" i="3"/>
  <c r="J6" i="3"/>
  <c r="J7" i="3"/>
  <c r="J8" i="3"/>
  <c r="J2" i="3"/>
  <c r="H3" i="3"/>
  <c r="H4" i="3"/>
  <c r="H5" i="3"/>
  <c r="H6" i="3"/>
  <c r="H7" i="3"/>
  <c r="H8" i="3"/>
  <c r="H2" i="3"/>
  <c r="F3" i="3"/>
  <c r="G3" i="3"/>
  <c r="F4" i="3"/>
  <c r="G4" i="3"/>
  <c r="F5" i="3"/>
  <c r="G5" i="3"/>
  <c r="F6" i="3"/>
  <c r="G6" i="3"/>
  <c r="F7" i="3"/>
  <c r="G7" i="3"/>
  <c r="F8" i="3"/>
  <c r="G8" i="3"/>
  <c r="G2" i="3"/>
  <c r="F2" i="3"/>
  <c r="D3" i="3"/>
  <c r="D4" i="3"/>
  <c r="D5" i="3"/>
  <c r="D6" i="3"/>
  <c r="D7" i="3"/>
  <c r="D8" i="3"/>
  <c r="D2" i="3"/>
  <c r="C3" i="3"/>
  <c r="C4" i="3"/>
  <c r="C5" i="3"/>
  <c r="C6" i="3"/>
  <c r="C7" i="3"/>
  <c r="C8" i="3"/>
  <c r="C2" i="3"/>
  <c r="B3" i="3"/>
  <c r="B4" i="3"/>
  <c r="B5" i="3"/>
  <c r="B6" i="3"/>
  <c r="B7" i="3"/>
  <c r="B8" i="3"/>
  <c r="B2" i="3"/>
  <c r="J3" i="2"/>
  <c r="K3" i="2"/>
  <c r="L3" i="2"/>
  <c r="J4" i="2"/>
  <c r="K4" i="2"/>
  <c r="L4" i="2"/>
  <c r="J5" i="2"/>
  <c r="K5" i="2"/>
  <c r="L5" i="2"/>
  <c r="J6" i="2"/>
  <c r="K6" i="2"/>
  <c r="L6" i="2"/>
  <c r="J7" i="2"/>
  <c r="K7" i="2"/>
  <c r="L7" i="2"/>
  <c r="J8" i="2"/>
  <c r="K8" i="2"/>
  <c r="L8" i="2"/>
  <c r="K2" i="2"/>
  <c r="L2" i="2"/>
  <c r="J2" i="2"/>
  <c r="I3" i="2"/>
  <c r="I4" i="2"/>
  <c r="I5" i="2"/>
  <c r="I6" i="2"/>
  <c r="I7" i="2"/>
  <c r="I8" i="2"/>
  <c r="I2" i="2"/>
</calcChain>
</file>

<file path=xl/sharedStrings.xml><?xml version="1.0" encoding="utf-8"?>
<sst xmlns="http://schemas.openxmlformats.org/spreadsheetml/2006/main" count="51" uniqueCount="26">
  <si>
    <t>Test</t>
  </si>
  <si>
    <t>Req/Sec</t>
  </si>
  <si>
    <t>Duration (Avg)</t>
  </si>
  <si>
    <t>Duration (Min)</t>
  </si>
  <si>
    <t>Duration (Max)</t>
  </si>
  <si>
    <t>Vus</t>
  </si>
  <si>
    <t>get_status</t>
  </si>
  <si>
    <t>Duration (p95)</t>
  </si>
  <si>
    <t>Duration (p90)</t>
  </si>
  <si>
    <t>create_user</t>
  </si>
  <si>
    <t>get_openapi.json</t>
  </si>
  <si>
    <t>get_openapi.yaml</t>
  </si>
  <si>
    <t>login</t>
  </si>
  <si>
    <t>get_pet</t>
  </si>
  <si>
    <t>find_pets</t>
  </si>
  <si>
    <t>Perf Gain (Req/Sec)</t>
  </si>
  <si>
    <t>Perf Gain (Avg)</t>
  </si>
  <si>
    <t>Perf Gain (p90)</t>
  </si>
  <si>
    <t>Perf Gain (p95)</t>
  </si>
  <si>
    <t>Diff</t>
  </si>
  <si>
    <t>Composer.js Req/Sec</t>
  </si>
  <si>
    <t>RapidREST Req/Sec</t>
  </si>
  <si>
    <t>Composer.js p90 (ms)</t>
  </si>
  <si>
    <t>RapidREST p90 (ms)</t>
  </si>
  <si>
    <t>Composer.js p95 (ms)</t>
  </si>
  <si>
    <t>RapidREST p95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</si>
</sst>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9" fontId="2" fillId="0" borderId="0" xfId="1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7EAA-5212-49A2-BFBD-5BDD634282B9}">
  <dimension ref="A1:L8"/>
  <sheetViews>
    <sheetView tabSelected="1" workbookViewId="0">
      <selection activeCell="G27" sqref="G27"/>
    </sheetView>
  </sheetViews>
  <sheetFormatPr defaultRowHeight="15" x14ac:dyDescent="0.25"/>
  <cols>
    <col min="1" max="1" width="16.7109375" bestFit="1" customWidth="1"/>
    <col min="2" max="2" width="20.85546875" bestFit="1" customWidth="1"/>
    <col min="3" max="3" width="19" bestFit="1" customWidth="1"/>
    <col min="6" max="6" width="21" bestFit="1" customWidth="1"/>
    <col min="7" max="7" width="19.140625" bestFit="1" customWidth="1"/>
    <col min="10" max="10" width="21" bestFit="1" customWidth="1"/>
    <col min="11" max="11" width="19.140625" bestFit="1" customWidth="1"/>
  </cols>
  <sheetData>
    <row r="1" spans="1:12" s="1" customFormat="1" x14ac:dyDescent="0.25">
      <c r="A1" s="1" t="s">
        <v>0</v>
      </c>
      <c r="B1" s="1" t="s">
        <v>20</v>
      </c>
      <c r="C1" s="1" t="s">
        <v>21</v>
      </c>
      <c r="D1" s="1" t="s">
        <v>19</v>
      </c>
      <c r="F1" s="1" t="s">
        <v>22</v>
      </c>
      <c r="G1" s="1" t="s">
        <v>23</v>
      </c>
      <c r="H1" s="1" t="s">
        <v>19</v>
      </c>
      <c r="J1" s="1" t="s">
        <v>24</v>
      </c>
      <c r="K1" s="1" t="s">
        <v>25</v>
      </c>
      <c r="L1" s="1" t="s">
        <v>19</v>
      </c>
    </row>
    <row r="2" spans="1:12" x14ac:dyDescent="0.25">
      <c r="A2" t="s">
        <v>9</v>
      </c>
      <c r="B2">
        <f>'1.0.31-cjs'!C2</f>
        <v>71.816000000000003</v>
      </c>
      <c r="C2">
        <f>'1.0.31-rrst'!C2</f>
        <v>70.688999999999993</v>
      </c>
      <c r="D2" s="3">
        <f>(C2/B2)-1</f>
        <v>-1.5692881809067805E-2</v>
      </c>
      <c r="F2">
        <f>'1.0.31-cjs'!G2</f>
        <v>1430</v>
      </c>
      <c r="G2">
        <f>'1.0.31-rrst'!G2</f>
        <v>1440</v>
      </c>
      <c r="H2" s="3">
        <f>(F2/G2)-1</f>
        <v>-6.9444444444444198E-3</v>
      </c>
      <c r="J2">
        <f>'1.0.31-cjs'!H2</f>
        <v>1490</v>
      </c>
      <c r="K2">
        <f>'1.0.31-rrst'!H2</f>
        <v>1460</v>
      </c>
      <c r="L2" s="3">
        <f>(J2/K2)-1</f>
        <v>2.0547945205479534E-2</v>
      </c>
    </row>
    <row r="3" spans="1:12" x14ac:dyDescent="0.25">
      <c r="A3" t="s">
        <v>14</v>
      </c>
      <c r="B3">
        <f>'1.0.31-cjs'!C3</f>
        <v>2058.9180000000001</v>
      </c>
      <c r="C3">
        <f>'1.0.31-rrst'!C3</f>
        <v>3673.1170000000002</v>
      </c>
      <c r="D3" s="3">
        <f t="shared" ref="D3:D8" si="0">(C3/B3)-1</f>
        <v>0.78400353972329162</v>
      </c>
      <c r="F3">
        <f>'1.0.31-cjs'!G3</f>
        <v>62.05</v>
      </c>
      <c r="G3">
        <f>'1.0.31-rrst'!G3</f>
        <v>36.130000000000003</v>
      </c>
      <c r="H3" s="3">
        <f t="shared" ref="H3:H8" si="1">(F3/G3)-1</f>
        <v>0.71740935510655945</v>
      </c>
      <c r="J3">
        <f>'1.0.31-cjs'!H3</f>
        <v>65.72</v>
      </c>
      <c r="K3">
        <f>'1.0.31-rrst'!H3</f>
        <v>37.97</v>
      </c>
      <c r="L3" s="3">
        <f t="shared" ref="L3:L8" si="2">(J3/K3)-1</f>
        <v>0.73084013695022398</v>
      </c>
    </row>
    <row r="4" spans="1:12" x14ac:dyDescent="0.25">
      <c r="A4" t="s">
        <v>6</v>
      </c>
      <c r="B4">
        <f>'1.0.31-cjs'!C4</f>
        <v>5905.6930000000002</v>
      </c>
      <c r="C4">
        <f>'1.0.31-rrst'!C4</f>
        <v>9494.1419999999998</v>
      </c>
      <c r="D4" s="3">
        <f t="shared" si="0"/>
        <v>0.6076253879095983</v>
      </c>
      <c r="F4">
        <f>'1.0.31-cjs'!G4</f>
        <v>23.13</v>
      </c>
      <c r="G4">
        <f>'1.0.31-rrst'!G4</f>
        <v>14.62</v>
      </c>
      <c r="H4" s="3">
        <f t="shared" si="1"/>
        <v>0.58207934336525313</v>
      </c>
      <c r="J4">
        <f>'1.0.31-cjs'!H4</f>
        <v>24.24</v>
      </c>
      <c r="K4">
        <f>'1.0.31-rrst'!H4</f>
        <v>16.100000000000001</v>
      </c>
      <c r="L4" s="3">
        <f t="shared" si="2"/>
        <v>0.50559006211180102</v>
      </c>
    </row>
    <row r="5" spans="1:12" x14ac:dyDescent="0.25">
      <c r="A5" t="s">
        <v>10</v>
      </c>
      <c r="B5">
        <f>'1.0.31-cjs'!C5</f>
        <v>2520.547</v>
      </c>
      <c r="C5">
        <f>'1.0.31-rrst'!C5</f>
        <v>4125.4129999999996</v>
      </c>
      <c r="D5" s="3">
        <f t="shared" si="0"/>
        <v>0.63671338007186518</v>
      </c>
      <c r="F5">
        <f>'1.0.31-cjs'!G5</f>
        <v>42.44</v>
      </c>
      <c r="G5">
        <f>'1.0.31-rrst'!G5</f>
        <v>38.049999999999997</v>
      </c>
      <c r="H5" s="3">
        <f t="shared" si="1"/>
        <v>0.11537450722733245</v>
      </c>
      <c r="J5">
        <f>'1.0.31-cjs'!H5</f>
        <v>43.81</v>
      </c>
      <c r="K5">
        <f>'1.0.31-rrst'!H5</f>
        <v>41.97</v>
      </c>
      <c r="L5" s="3">
        <f t="shared" si="2"/>
        <v>4.384083869430544E-2</v>
      </c>
    </row>
    <row r="6" spans="1:12" x14ac:dyDescent="0.25">
      <c r="A6" t="s">
        <v>11</v>
      </c>
      <c r="B6">
        <f>'1.0.31-cjs'!C6</f>
        <v>187.39500000000001</v>
      </c>
      <c r="C6">
        <f>'1.0.31-rrst'!C6</f>
        <v>217.511</v>
      </c>
      <c r="D6" s="3">
        <f t="shared" si="0"/>
        <v>0.16070866351823687</v>
      </c>
      <c r="F6">
        <f>'1.0.31-cjs'!G6</f>
        <v>585.67999999999995</v>
      </c>
      <c r="G6">
        <f>'1.0.31-rrst'!G6</f>
        <v>474.76</v>
      </c>
      <c r="H6" s="3">
        <f t="shared" si="1"/>
        <v>0.23363383604347443</v>
      </c>
      <c r="J6">
        <f>'1.0.31-cjs'!H6</f>
        <v>622.70000000000005</v>
      </c>
      <c r="K6">
        <f>'1.0.31-rrst'!H6</f>
        <v>484.99</v>
      </c>
      <c r="L6" s="3">
        <f t="shared" si="2"/>
        <v>0.28394399884533716</v>
      </c>
    </row>
    <row r="7" spans="1:12" x14ac:dyDescent="0.25">
      <c r="A7" t="s">
        <v>13</v>
      </c>
      <c r="B7">
        <f>'1.0.31-cjs'!C7</f>
        <v>4093.308</v>
      </c>
      <c r="C7">
        <f>'1.0.31-rrst'!C7</f>
        <v>7643.0460000000003</v>
      </c>
      <c r="D7" s="3">
        <f t="shared" si="0"/>
        <v>0.86720520420158964</v>
      </c>
      <c r="F7">
        <f>'1.0.31-cjs'!G7</f>
        <v>30.24</v>
      </c>
      <c r="G7">
        <f>'1.0.31-rrst'!G7</f>
        <v>17.63</v>
      </c>
      <c r="H7" s="3">
        <f t="shared" si="1"/>
        <v>0.71525808281338632</v>
      </c>
      <c r="J7">
        <f>'1.0.31-cjs'!H7</f>
        <v>33.46</v>
      </c>
      <c r="K7">
        <f>'1.0.31-rrst'!H7</f>
        <v>19.28</v>
      </c>
      <c r="L7" s="3">
        <f t="shared" si="2"/>
        <v>0.73547717842323657</v>
      </c>
    </row>
    <row r="8" spans="1:12" x14ac:dyDescent="0.25">
      <c r="A8" t="s">
        <v>12</v>
      </c>
      <c r="B8">
        <f>'1.0.31-cjs'!C8</f>
        <v>70.126999999999995</v>
      </c>
      <c r="C8">
        <f>'1.0.31-rrst'!C8</f>
        <v>70.218999999999994</v>
      </c>
      <c r="D8" s="3">
        <f t="shared" si="0"/>
        <v>1.3119055428008064E-3</v>
      </c>
      <c r="F8">
        <f>'1.0.31-cjs'!G8</f>
        <v>1450</v>
      </c>
      <c r="G8">
        <f>'1.0.31-rrst'!G8</f>
        <v>1440</v>
      </c>
      <c r="H8" s="3">
        <f t="shared" si="1"/>
        <v>6.9444444444444198E-3</v>
      </c>
      <c r="J8">
        <f>'1.0.31-cjs'!H8</f>
        <v>1470</v>
      </c>
      <c r="K8">
        <f>'1.0.31-rrst'!H8</f>
        <v>1450</v>
      </c>
      <c r="L8" s="3">
        <f t="shared" si="2"/>
        <v>1.379310344827589E-2</v>
      </c>
    </row>
  </sheetData>
  <conditionalFormatting sqref="D1:D1048576">
    <cfRule type="colorScale" priority="3">
      <colorScale>
        <cfvo type="min"/>
        <cfvo type="max"/>
        <color rgb="FFFCFCFF"/>
        <color rgb="FF63BE7B"/>
      </colorScale>
    </cfRule>
  </conditionalFormatting>
  <conditionalFormatting sqref="H2:H8">
    <cfRule type="colorScale" priority="2">
      <colorScale>
        <cfvo type="min"/>
        <cfvo type="max"/>
        <color rgb="FFFCFCFF"/>
        <color rgb="FF63BE7B"/>
      </colorScale>
    </cfRule>
  </conditionalFormatting>
  <conditionalFormatting sqref="L2:L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DD1CC-9ED4-4593-9CF0-ACFF7E44F672}">
  <dimension ref="A1:L8"/>
  <sheetViews>
    <sheetView workbookViewId="0">
      <selection sqref="A1:A8"/>
    </sheetView>
  </sheetViews>
  <sheetFormatPr defaultRowHeight="15" x14ac:dyDescent="0.25"/>
  <cols>
    <col min="1" max="1" width="16.28515625" bestFit="1" customWidth="1"/>
    <col min="3" max="3" width="8.5703125" bestFit="1" customWidth="1"/>
    <col min="4" max="4" width="13.7109375" bestFit="1" customWidth="1"/>
    <col min="5" max="5" width="14" bestFit="1" customWidth="1"/>
    <col min="6" max="6" width="14.28515625" bestFit="1" customWidth="1"/>
    <col min="7" max="7" width="14.5703125" bestFit="1" customWidth="1"/>
    <col min="8" max="8" width="14" bestFit="1" customWidth="1"/>
    <col min="9" max="9" width="19" bestFit="1" customWidth="1"/>
    <col min="10" max="10" width="14" style="3" bestFit="1" customWidth="1"/>
    <col min="11" max="11" width="14.28515625" style="3" bestFit="1" customWidth="1"/>
    <col min="12" max="12" width="12.42578125" style="3" customWidth="1"/>
  </cols>
  <sheetData>
    <row r="1" spans="1:12" s="1" customFormat="1" x14ac:dyDescent="0.2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8</v>
      </c>
      <c r="H1" s="1" t="s">
        <v>7</v>
      </c>
      <c r="I1" s="1" t="s">
        <v>15</v>
      </c>
      <c r="J1" s="2" t="s">
        <v>16</v>
      </c>
      <c r="K1" s="2" t="s">
        <v>17</v>
      </c>
      <c r="L1" s="2" t="s">
        <v>18</v>
      </c>
    </row>
    <row r="2" spans="1:12" x14ac:dyDescent="0.25">
      <c r="A2" t="s">
        <v>9</v>
      </c>
      <c r="B2">
        <v>100</v>
      </c>
      <c r="C2">
        <v>70.688999999999993</v>
      </c>
      <c r="D2">
        <v>1390</v>
      </c>
      <c r="E2">
        <v>96.58</v>
      </c>
      <c r="F2">
        <v>1560</v>
      </c>
      <c r="G2">
        <v>1440</v>
      </c>
      <c r="H2">
        <v>1460</v>
      </c>
      <c r="I2" s="3">
        <f>'1.0.31-cjs'!C2/'1.0.31-rrst'!C2</f>
        <v>1.0159430745943501</v>
      </c>
      <c r="J2" s="3">
        <f>'1.0.31-rrst'!D2/'1.0.31-cjs'!D2</f>
        <v>1.0220588235294117</v>
      </c>
      <c r="K2" s="3">
        <f>'1.0.31-rrst'!E2/'1.0.31-cjs'!E2</f>
        <v>0.85355722492266894</v>
      </c>
      <c r="L2" s="3">
        <f>'1.0.31-rrst'!F2/'1.0.31-cjs'!F2</f>
        <v>0.61904761904761907</v>
      </c>
    </row>
    <row r="3" spans="1:12" x14ac:dyDescent="0.25">
      <c r="A3" t="s">
        <v>14</v>
      </c>
      <c r="B3">
        <v>100</v>
      </c>
      <c r="C3">
        <v>3673.1170000000002</v>
      </c>
      <c r="D3">
        <v>27.21</v>
      </c>
      <c r="E3">
        <v>9.18</v>
      </c>
      <c r="F3">
        <v>109.02</v>
      </c>
      <c r="G3">
        <v>36.130000000000003</v>
      </c>
      <c r="H3">
        <v>37.97</v>
      </c>
      <c r="I3" s="3">
        <f>'1.0.31-cjs'!C3/'1.0.31-rrst'!C3</f>
        <v>0.56053700440252785</v>
      </c>
      <c r="J3" s="3">
        <f>'1.0.31-rrst'!D3/'1.0.31-cjs'!D3</f>
        <v>0.56068411291984344</v>
      </c>
      <c r="K3" s="3">
        <f>'1.0.31-rrst'!E3/'1.0.31-cjs'!E3</f>
        <v>0.50191361399671952</v>
      </c>
      <c r="L3" s="3">
        <f>'1.0.31-rrst'!F3/'1.0.31-cjs'!F3</f>
        <v>0.19030495574912282</v>
      </c>
    </row>
    <row r="4" spans="1:12" x14ac:dyDescent="0.25">
      <c r="A4" t="s">
        <v>6</v>
      </c>
      <c r="B4">
        <v>100</v>
      </c>
      <c r="C4">
        <v>9494.1419999999998</v>
      </c>
      <c r="D4">
        <v>10.52</v>
      </c>
      <c r="E4">
        <v>0.55889999999999995</v>
      </c>
      <c r="F4">
        <v>47.34</v>
      </c>
      <c r="G4">
        <v>14.62</v>
      </c>
      <c r="H4">
        <v>16.100000000000001</v>
      </c>
      <c r="I4" s="3">
        <f>'1.0.31-cjs'!C4/'1.0.31-rrst'!C4</f>
        <v>0.62203546144559463</v>
      </c>
      <c r="J4" s="3">
        <f>'1.0.31-rrst'!D4/'1.0.31-cjs'!D4</f>
        <v>0.62174940898345143</v>
      </c>
      <c r="K4" s="3">
        <f>'1.0.31-rrst'!E4/'1.0.31-cjs'!E4</f>
        <v>0.19749116607773851</v>
      </c>
      <c r="L4" s="3">
        <f>'1.0.31-rrst'!F4/'1.0.31-cjs'!F4</f>
        <v>0.18543617062948023</v>
      </c>
    </row>
    <row r="5" spans="1:12" x14ac:dyDescent="0.25">
      <c r="A5" t="s">
        <v>10</v>
      </c>
      <c r="B5">
        <v>100</v>
      </c>
      <c r="C5">
        <v>4125.4129999999996</v>
      </c>
      <c r="D5">
        <v>24.22</v>
      </c>
      <c r="E5">
        <v>3.4</v>
      </c>
      <c r="F5">
        <v>79.069999999999993</v>
      </c>
      <c r="G5">
        <v>38.049999999999997</v>
      </c>
      <c r="H5">
        <v>41.97</v>
      </c>
      <c r="I5" s="3">
        <f>'1.0.31-cjs'!C5/'1.0.31-rrst'!C5</f>
        <v>0.6109805248589657</v>
      </c>
      <c r="J5" s="3">
        <f>'1.0.31-rrst'!D5/'1.0.31-cjs'!D5</f>
        <v>0.61099899091826437</v>
      </c>
      <c r="K5" s="3">
        <f>'1.0.31-rrst'!E5/'1.0.31-cjs'!E5</f>
        <v>0.860759493670886</v>
      </c>
      <c r="L5" s="3">
        <f>'1.0.31-rrst'!F5/'1.0.31-cjs'!F5</f>
        <v>7.5304761904761902E-2</v>
      </c>
    </row>
    <row r="6" spans="1:12" x14ac:dyDescent="0.25">
      <c r="A6" t="s">
        <v>11</v>
      </c>
      <c r="B6">
        <v>100</v>
      </c>
      <c r="C6">
        <v>217.511</v>
      </c>
      <c r="D6">
        <v>457.99</v>
      </c>
      <c r="E6">
        <v>10.91</v>
      </c>
      <c r="F6">
        <v>982.03</v>
      </c>
      <c r="G6">
        <v>474.76</v>
      </c>
      <c r="H6">
        <v>484.99</v>
      </c>
      <c r="I6" s="3">
        <f>'1.0.31-cjs'!C6/'1.0.31-rrst'!C6</f>
        <v>0.86154263462537528</v>
      </c>
      <c r="J6" s="3">
        <f>'1.0.31-rrst'!D6/'1.0.31-cjs'!D6</f>
        <v>0.86534028643766769</v>
      </c>
      <c r="K6" s="3">
        <f>'1.0.31-rrst'!E6/'1.0.31-cjs'!E6</f>
        <v>0.42918961447678988</v>
      </c>
      <c r="L6" s="3">
        <f>'1.0.31-rrst'!F6/'1.0.31-cjs'!F6</f>
        <v>7.252806499261448E-2</v>
      </c>
    </row>
    <row r="7" spans="1:12" x14ac:dyDescent="0.25">
      <c r="A7" t="s">
        <v>13</v>
      </c>
      <c r="B7">
        <v>100</v>
      </c>
      <c r="C7">
        <v>7643.0460000000003</v>
      </c>
      <c r="D7">
        <v>13.07</v>
      </c>
      <c r="E7">
        <v>2.0499999999999998</v>
      </c>
      <c r="F7">
        <v>92.06</v>
      </c>
      <c r="G7">
        <v>17.63</v>
      </c>
      <c r="H7">
        <v>19.28</v>
      </c>
      <c r="I7" s="3">
        <f>'1.0.31-cjs'!C7/'1.0.31-rrst'!C7</f>
        <v>0.53555977551358447</v>
      </c>
      <c r="J7" s="3">
        <f>'1.0.31-rrst'!D7/'1.0.31-cjs'!D7</f>
        <v>0.53543629659975422</v>
      </c>
      <c r="K7" s="3">
        <f>'1.0.31-rrst'!E7/'1.0.31-cjs'!E7</f>
        <v>0.35590277777777773</v>
      </c>
      <c r="L7" s="3">
        <f>'1.0.31-rrst'!F7/'1.0.31-cjs'!F7</f>
        <v>0.26199556036200128</v>
      </c>
    </row>
    <row r="8" spans="1:12" x14ac:dyDescent="0.25">
      <c r="A8" t="s">
        <v>12</v>
      </c>
      <c r="B8">
        <v>100</v>
      </c>
      <c r="C8">
        <v>70.218999999999994</v>
      </c>
      <c r="D8">
        <v>1400</v>
      </c>
      <c r="E8">
        <v>94.8</v>
      </c>
      <c r="F8">
        <v>1480</v>
      </c>
      <c r="G8">
        <v>1440</v>
      </c>
      <c r="H8">
        <v>1450</v>
      </c>
      <c r="I8" s="3">
        <f>'1.0.31-cjs'!C8/'1.0.31-rrst'!C8</f>
        <v>0.99868981329839501</v>
      </c>
      <c r="J8" s="3">
        <f>'1.0.31-rrst'!D8/'1.0.31-cjs'!D8</f>
        <v>1.0071942446043165</v>
      </c>
      <c r="K8" s="3">
        <f>'1.0.31-rrst'!E8/'1.0.31-cjs'!E8</f>
        <v>0.70446607713457676</v>
      </c>
      <c r="L8" s="3">
        <f>'1.0.31-rrst'!F8/'1.0.31-cjs'!F8</f>
        <v>0.75126903553299496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A8E8E-4130-4CCA-A3A8-A42D26512C95}">
  <dimension ref="A1:H8"/>
  <sheetViews>
    <sheetView workbookViewId="0">
      <selection activeCell="G22" sqref="G22"/>
    </sheetView>
  </sheetViews>
  <sheetFormatPr defaultRowHeight="15" x14ac:dyDescent="0.25"/>
  <cols>
    <col min="1" max="1" width="16.28515625" bestFit="1" customWidth="1"/>
    <col min="3" max="3" width="8.5703125" bestFit="1" customWidth="1"/>
    <col min="4" max="4" width="13.7109375" bestFit="1" customWidth="1"/>
    <col min="5" max="5" width="14" bestFit="1" customWidth="1"/>
    <col min="6" max="6" width="14.28515625" bestFit="1" customWidth="1"/>
    <col min="7" max="7" width="14.5703125" bestFit="1" customWidth="1"/>
    <col min="8" max="8" width="14" bestFit="1" customWidth="1"/>
    <col min="9" max="9" width="13.7109375" bestFit="1" customWidth="1"/>
    <col min="10" max="10" width="14" bestFit="1" customWidth="1"/>
    <col min="11" max="11" width="14.28515625" bestFit="1" customWidth="1"/>
  </cols>
  <sheetData>
    <row r="1" spans="1:8" s="1" customFormat="1" x14ac:dyDescent="0.2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8</v>
      </c>
      <c r="H1" s="1" t="s">
        <v>7</v>
      </c>
    </row>
    <row r="2" spans="1:8" x14ac:dyDescent="0.25">
      <c r="A2" t="s">
        <v>9</v>
      </c>
      <c r="B2">
        <v>100</v>
      </c>
      <c r="C2">
        <v>71.816000000000003</v>
      </c>
      <c r="D2">
        <v>1360</v>
      </c>
      <c r="E2">
        <v>113.15</v>
      </c>
      <c r="F2">
        <v>2520</v>
      </c>
      <c r="G2">
        <v>1430</v>
      </c>
      <c r="H2">
        <v>1490</v>
      </c>
    </row>
    <row r="3" spans="1:8" x14ac:dyDescent="0.25">
      <c r="A3" t="s">
        <v>14</v>
      </c>
      <c r="B3">
        <v>100</v>
      </c>
      <c r="C3">
        <v>2058.9180000000001</v>
      </c>
      <c r="D3">
        <v>48.53</v>
      </c>
      <c r="E3">
        <v>18.29</v>
      </c>
      <c r="F3">
        <v>572.87</v>
      </c>
      <c r="G3">
        <v>62.05</v>
      </c>
      <c r="H3">
        <v>65.72</v>
      </c>
    </row>
    <row r="4" spans="1:8" x14ac:dyDescent="0.25">
      <c r="A4" t="s">
        <v>6</v>
      </c>
      <c r="B4">
        <v>100</v>
      </c>
      <c r="C4">
        <v>5905.6930000000002</v>
      </c>
      <c r="D4">
        <v>16.920000000000002</v>
      </c>
      <c r="E4">
        <v>2.83</v>
      </c>
      <c r="F4">
        <v>255.29</v>
      </c>
      <c r="G4">
        <v>23.13</v>
      </c>
      <c r="H4">
        <v>24.24</v>
      </c>
    </row>
    <row r="5" spans="1:8" x14ac:dyDescent="0.25">
      <c r="A5" t="s">
        <v>10</v>
      </c>
      <c r="B5">
        <v>100</v>
      </c>
      <c r="C5">
        <v>2520.547</v>
      </c>
      <c r="D5">
        <v>39.64</v>
      </c>
      <c r="E5">
        <v>3.95</v>
      </c>
      <c r="F5">
        <v>1050</v>
      </c>
      <c r="G5">
        <v>42.44</v>
      </c>
      <c r="H5">
        <v>43.81</v>
      </c>
    </row>
    <row r="6" spans="1:8" x14ac:dyDescent="0.25">
      <c r="A6" t="s">
        <v>11</v>
      </c>
      <c r="B6">
        <v>100</v>
      </c>
      <c r="C6">
        <v>187.39500000000001</v>
      </c>
      <c r="D6">
        <v>529.26</v>
      </c>
      <c r="E6">
        <v>25.42</v>
      </c>
      <c r="F6">
        <v>13540</v>
      </c>
      <c r="G6">
        <v>585.67999999999995</v>
      </c>
      <c r="H6">
        <v>622.70000000000005</v>
      </c>
    </row>
    <row r="7" spans="1:8" x14ac:dyDescent="0.25">
      <c r="A7" t="s">
        <v>13</v>
      </c>
      <c r="B7">
        <v>100</v>
      </c>
      <c r="C7">
        <v>4093.308</v>
      </c>
      <c r="D7">
        <v>24.41</v>
      </c>
      <c r="E7">
        <v>5.76</v>
      </c>
      <c r="F7">
        <v>351.38</v>
      </c>
      <c r="G7">
        <v>30.24</v>
      </c>
      <c r="H7">
        <v>33.46</v>
      </c>
    </row>
    <row r="8" spans="1:8" x14ac:dyDescent="0.25">
      <c r="A8" t="s">
        <v>12</v>
      </c>
      <c r="B8">
        <v>100</v>
      </c>
      <c r="C8">
        <v>70.126999999999995</v>
      </c>
      <c r="D8">
        <v>1390</v>
      </c>
      <c r="E8">
        <v>134.57</v>
      </c>
      <c r="F8">
        <v>1970</v>
      </c>
      <c r="G8">
        <v>1450</v>
      </c>
      <c r="H8">
        <v>1470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1.0.31-rrst</vt:lpstr>
      <vt:lpstr>1.0.31-cjs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Jean-Philippe Steinmetz</dc:creator>
  <cp:lastModifiedBy>Jean-Philippe Steinmetz</cp:lastModifiedBy>
  <dcterms:created xsi:type="dcterms:W3CDTF">2026-06-10T20:18:27Z</dcterms:created>
  <dcterms:modified xsi:type="dcterms:W3CDTF">2026-06-13T19:15:03Z</dcterms:modified>
</cp:coreProperties>
</file>